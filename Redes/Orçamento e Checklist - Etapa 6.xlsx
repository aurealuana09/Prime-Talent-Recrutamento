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 defaultThemeVersion="166925"/>
  <xr:revisionPtr revIDLastSave="0" documentId="8_{A857C9DB-17B4-485B-A68D-ED43F2232728}" xr6:coauthVersionLast="47" xr6:coauthVersionMax="47" xr10:uidLastSave="{00000000-0000-0000-0000-000000000000}"/>
  <bookViews>
    <workbookView xWindow="240" yWindow="105" windowWidth="14805" windowHeight="8010" firstSheet="2" xr2:uid="{00000000-000D-0000-FFFF-FFFF00000000}"/>
  </bookViews>
  <sheets>
    <sheet name="Orçamento" sheetId="5" r:id="rId1"/>
    <sheet name="Checklist de Validação" sheetId="9" r:id="rId2"/>
    <sheet name="Plano de Implantação" sheetId="10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" i="5" l="1"/>
  <c r="J4" i="5"/>
  <c r="J5" i="5"/>
  <c r="J6" i="5"/>
  <c r="J7" i="5"/>
  <c r="J8" i="5"/>
  <c r="J9" i="5"/>
  <c r="J10" i="5"/>
  <c r="J11" i="5"/>
  <c r="J12" i="5"/>
  <c r="J13" i="5"/>
  <c r="J2" i="5"/>
  <c r="J14" i="5"/>
</calcChain>
</file>

<file path=xl/sharedStrings.xml><?xml version="1.0" encoding="utf-8"?>
<sst xmlns="http://schemas.openxmlformats.org/spreadsheetml/2006/main" count="81" uniqueCount="51">
  <si>
    <t>Local</t>
  </si>
  <si>
    <t>Equipamento</t>
  </si>
  <si>
    <t>Modelo</t>
  </si>
  <si>
    <t>Quantidade</t>
  </si>
  <si>
    <t>Valor Unitário</t>
  </si>
  <si>
    <t>Subtotal</t>
  </si>
  <si>
    <t>Matriz</t>
  </si>
  <si>
    <t>Firewall</t>
  </si>
  <si>
    <t>FortiGate 60F</t>
  </si>
  <si>
    <t>Switch Core</t>
  </si>
  <si>
    <t>Cisco CBS350-48T-4G</t>
  </si>
  <si>
    <t>Switch Acesso</t>
  </si>
  <si>
    <t>Cisco CBS250-24T-4G</t>
  </si>
  <si>
    <t>AP Wi‑Fi</t>
  </si>
  <si>
    <t>UniFi U6 Lite</t>
  </si>
  <si>
    <t>Rack 24U</t>
  </si>
  <si>
    <t>Campinas</t>
  </si>
  <si>
    <t>Switch</t>
  </si>
  <si>
    <t>Rack 12U</t>
  </si>
  <si>
    <t>Santos</t>
  </si>
  <si>
    <t>Todas as Unidades</t>
  </si>
  <si>
    <t>Cabo UTP Cat6</t>
  </si>
  <si>
    <t>Caixa 305m</t>
  </si>
  <si>
    <t>Total Geral</t>
  </si>
  <si>
    <t>Item Verificado</t>
  </si>
  <si>
    <t>Resultado</t>
  </si>
  <si>
    <t>Todas as unidades representadas</t>
  </si>
  <si>
    <t>Sim</t>
  </si>
  <si>
    <t>Matrizes e filiais conectadas</t>
  </si>
  <si>
    <t>VPN Site-to-Site definida</t>
  </si>
  <si>
    <t>VLANs criadas</t>
  </si>
  <si>
    <t>Sub-redes sem sobreposição</t>
  </si>
  <si>
    <t>DHCP configurado</t>
  </si>
  <si>
    <t>Servidores com IP fixo</t>
  </si>
  <si>
    <t>Isolamento de Visitantes</t>
  </si>
  <si>
    <t>Isolamento da VLAN IoT</t>
  </si>
  <si>
    <t>Quantidade de portas suficiente</t>
  </si>
  <si>
    <t>Cobertura Wi‑Fi adequada</t>
  </si>
  <si>
    <t>Margem para crescimento disponível</t>
  </si>
  <si>
    <t>Ordem</t>
  </si>
  <si>
    <t>Atividade</t>
  </si>
  <si>
    <t>Instalar racks</t>
  </si>
  <si>
    <t>Instalar cabeamento estruturado Cat6</t>
  </si>
  <si>
    <t>Instalar switches</t>
  </si>
  <si>
    <t>Instalar firewall</t>
  </si>
  <si>
    <t>Instalar access points</t>
  </si>
  <si>
    <t>Configurar VLANs</t>
  </si>
  <si>
    <t>Configurar DHCP e DNS</t>
  </si>
  <si>
    <t>Configurar VPN Site-to-Site</t>
  </si>
  <si>
    <t>Validar comunicação</t>
  </si>
  <si>
    <t>Liberar ambiente para operação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</si>
</sst>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$&quot;\ #,##0;[Red]\-&quot;R$&quot;\ 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6" fontId="0" fillId="0" borderId="0" xfId="0" applyNumberFormat="1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7">
    <dxf>
      <alignment horizontal="center"/>
    </dxf>
    <dxf>
      <alignment horizont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color rgb="FF006100"/>
      </font>
      <fill>
        <patternFill>
          <bgColor rgb="FFC6EFCE"/>
        </patternFill>
      </fill>
    </dxf>
    <dxf>
      <numFmt numFmtId="10" formatCode="&quot;R$&quot;\ #,##0;[Red]\-&quot;R$&quot;\ #,##0"/>
    </dxf>
    <dxf>
      <numFmt numFmtId="10" formatCode="&quot;R$&quot;\ #,##0;[Red]\-&quot;R$&quot;\ #,##0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299541CD-5A9E-4DBB-963E-23B83B5D16D0}" name="Tabela22" displayName="Tabela22" ref="E1:J14" totalsRowShown="0" tableBorderDxfId="6">
  <autoFilter ref="E1:J14" xr:uid="{299541CD-5A9E-4DBB-963E-23B83B5D16D0}"/>
  <tableColumns count="6">
    <tableColumn id="1" xr3:uid="{3CF2E5BC-4913-40BC-BD95-3BB33AE69562}" name="Local"/>
    <tableColumn id="2" xr3:uid="{5A3317D0-ABA9-4372-845F-DA8EE6D3B599}" name="Equipamento"/>
    <tableColumn id="3" xr3:uid="{DD193392-5830-4620-911D-281B60972D47}" name="Modelo"/>
    <tableColumn id="4" xr3:uid="{3AE4A269-EDB0-46EC-B3A7-3BF5E4DF4F06}" name="Quantidade"/>
    <tableColumn id="5" xr3:uid="{8F6D028E-78DA-4A3F-9BD9-08CBCB9082EA}" name="Valor Unitário" dataDxfId="5"/>
    <tableColumn id="6" xr3:uid="{B451FFEC-1D8B-4AFF-9892-4A79B8709E0C}" name="Subtotal" dataDxfId="4"/>
  </tableColumns>
  <tableStyleInfo name="TableStyleDark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28178ED8-25E1-44A2-ACDA-BA2B20E1759F}" name="Tabela23" displayName="Tabela23" ref="E2:F12" totalsRowShown="0" tableBorderDxfId="2">
  <autoFilter ref="E2:F12" xr:uid="{28178ED8-25E1-44A2-ACDA-BA2B20E1759F}"/>
  <tableColumns count="2">
    <tableColumn id="1" xr3:uid="{392803CA-21C7-4ED3-8351-E471A3F7C49A}" name="Ordem" dataDxfId="1"/>
    <tableColumn id="2" xr3:uid="{6A27C42E-6585-4B34-8A41-AA881964E609}" name="Atividade" dataDxfId="0"/>
  </tableColumns>
  <tableStyleInfo name="TableStyleDark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93DBE-CD52-4641-B784-FB7543388737}">
  <dimension ref="E1:J14"/>
  <sheetViews>
    <sheetView tabSelected="1" workbookViewId="0">
      <selection activeCell="N6" sqref="N6"/>
    </sheetView>
  </sheetViews>
  <sheetFormatPr defaultRowHeight="15"/>
  <cols>
    <col min="5" max="5" width="15.85546875" bestFit="1" customWidth="1"/>
    <col min="6" max="6" width="15.5703125" bestFit="1" customWidth="1"/>
    <col min="7" max="7" width="25" bestFit="1" customWidth="1"/>
    <col min="8" max="8" width="14" bestFit="1" customWidth="1"/>
    <col min="9" max="9" width="16" bestFit="1" customWidth="1"/>
    <col min="10" max="10" width="11.42578125" bestFit="1" customWidth="1"/>
  </cols>
  <sheetData>
    <row r="1" spans="5:10"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</row>
    <row r="2" spans="5:10">
      <c r="E2" t="s">
        <v>6</v>
      </c>
      <c r="F2" t="s">
        <v>7</v>
      </c>
      <c r="G2" t="s">
        <v>8</v>
      </c>
      <c r="H2">
        <v>1</v>
      </c>
      <c r="I2" s="3">
        <v>6500</v>
      </c>
      <c r="J2" s="3">
        <f>Tabela22[[#This Row],[Quantidade]]*Tabela22[[#This Row],[Valor Unitário]]</f>
        <v>6500</v>
      </c>
    </row>
    <row r="3" spans="5:10">
      <c r="E3" t="s">
        <v>6</v>
      </c>
      <c r="F3" t="s">
        <v>9</v>
      </c>
      <c r="G3" t="s">
        <v>10</v>
      </c>
      <c r="H3">
        <v>1</v>
      </c>
      <c r="I3" s="3">
        <v>4500</v>
      </c>
      <c r="J3" s="3">
        <f>Tabela22[[#This Row],[Quantidade]]*Tabela22[[#This Row],[Valor Unitário]]</f>
        <v>4500</v>
      </c>
    </row>
    <row r="4" spans="5:10">
      <c r="E4" t="s">
        <v>6</v>
      </c>
      <c r="F4" t="s">
        <v>11</v>
      </c>
      <c r="G4" t="s">
        <v>12</v>
      </c>
      <c r="H4">
        <v>1</v>
      </c>
      <c r="I4" s="3">
        <v>2500</v>
      </c>
      <c r="J4" s="3">
        <f>Tabela22[[#This Row],[Quantidade]]*Tabela22[[#This Row],[Valor Unitário]]</f>
        <v>2500</v>
      </c>
    </row>
    <row r="5" spans="5:10">
      <c r="E5" t="s">
        <v>6</v>
      </c>
      <c r="F5" t="s">
        <v>13</v>
      </c>
      <c r="G5" t="s">
        <v>14</v>
      </c>
      <c r="H5">
        <v>3</v>
      </c>
      <c r="I5" s="3">
        <v>1000</v>
      </c>
      <c r="J5" s="3">
        <f>Tabela22[[#This Row],[Quantidade]]*Tabela22[[#This Row],[Valor Unitário]]</f>
        <v>3000</v>
      </c>
    </row>
    <row r="6" spans="5:10">
      <c r="E6" t="s">
        <v>6</v>
      </c>
      <c r="F6" t="s">
        <v>15</v>
      </c>
      <c r="G6" t="s">
        <v>15</v>
      </c>
      <c r="H6">
        <v>1</v>
      </c>
      <c r="I6" s="3">
        <v>1500</v>
      </c>
      <c r="J6" s="3">
        <f>Tabela22[[#This Row],[Quantidade]]*Tabela22[[#This Row],[Valor Unitário]]</f>
        <v>1500</v>
      </c>
    </row>
    <row r="7" spans="5:10">
      <c r="E7" t="s">
        <v>16</v>
      </c>
      <c r="F7" t="s">
        <v>17</v>
      </c>
      <c r="G7" t="s">
        <v>12</v>
      </c>
      <c r="H7">
        <v>1</v>
      </c>
      <c r="I7" s="3">
        <v>2500</v>
      </c>
      <c r="J7" s="3">
        <f>Tabela22[[#This Row],[Quantidade]]*Tabela22[[#This Row],[Valor Unitário]]</f>
        <v>2500</v>
      </c>
    </row>
    <row r="8" spans="5:10">
      <c r="E8" t="s">
        <v>16</v>
      </c>
      <c r="F8" t="s">
        <v>13</v>
      </c>
      <c r="G8" t="s">
        <v>14</v>
      </c>
      <c r="H8">
        <v>1</v>
      </c>
      <c r="I8" s="3">
        <v>1000</v>
      </c>
      <c r="J8" s="3">
        <f>Tabela22[[#This Row],[Quantidade]]*Tabela22[[#This Row],[Valor Unitário]]</f>
        <v>1000</v>
      </c>
    </row>
    <row r="9" spans="5:10">
      <c r="E9" t="s">
        <v>16</v>
      </c>
      <c r="F9" t="s">
        <v>18</v>
      </c>
      <c r="G9" t="s">
        <v>18</v>
      </c>
      <c r="H9">
        <v>1</v>
      </c>
      <c r="I9" s="3">
        <v>900</v>
      </c>
      <c r="J9" s="3">
        <f>Tabela22[[#This Row],[Quantidade]]*Tabela22[[#This Row],[Valor Unitário]]</f>
        <v>900</v>
      </c>
    </row>
    <row r="10" spans="5:10">
      <c r="E10" t="s">
        <v>19</v>
      </c>
      <c r="F10" t="s">
        <v>17</v>
      </c>
      <c r="G10" t="s">
        <v>12</v>
      </c>
      <c r="H10">
        <v>1</v>
      </c>
      <c r="I10" s="3">
        <v>2500</v>
      </c>
      <c r="J10" s="3">
        <f>Tabela22[[#This Row],[Quantidade]]*Tabela22[[#This Row],[Valor Unitário]]</f>
        <v>2500</v>
      </c>
    </row>
    <row r="11" spans="5:10">
      <c r="E11" t="s">
        <v>19</v>
      </c>
      <c r="F11" t="s">
        <v>13</v>
      </c>
      <c r="G11" t="s">
        <v>14</v>
      </c>
      <c r="H11">
        <v>1</v>
      </c>
      <c r="I11" s="3">
        <v>1000</v>
      </c>
      <c r="J11" s="3">
        <f>Tabela22[[#This Row],[Quantidade]]*Tabela22[[#This Row],[Valor Unitário]]</f>
        <v>1000</v>
      </c>
    </row>
    <row r="12" spans="5:10">
      <c r="E12" t="s">
        <v>19</v>
      </c>
      <c r="F12" t="s">
        <v>18</v>
      </c>
      <c r="G12" t="s">
        <v>18</v>
      </c>
      <c r="H12">
        <v>1</v>
      </c>
      <c r="I12" s="3">
        <v>900</v>
      </c>
      <c r="J12" s="3">
        <f>Tabela22[[#This Row],[Quantidade]]*Tabela22[[#This Row],[Valor Unitário]]</f>
        <v>900</v>
      </c>
    </row>
    <row r="13" spans="5:10">
      <c r="E13" t="s">
        <v>20</v>
      </c>
      <c r="F13" t="s">
        <v>21</v>
      </c>
      <c r="G13" t="s">
        <v>22</v>
      </c>
      <c r="H13">
        <v>3</v>
      </c>
      <c r="I13" s="3">
        <v>800</v>
      </c>
      <c r="J13" s="3">
        <f>Tabela22[[#This Row],[Quantidade]]*Tabela22[[#This Row],[Valor Unitário]]</f>
        <v>2400</v>
      </c>
    </row>
    <row r="14" spans="5:10">
      <c r="E14" t="s">
        <v>23</v>
      </c>
      <c r="I14" s="3"/>
      <c r="J14" s="3">
        <f>SUM(J2:J13)</f>
        <v>29200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B3922-211B-40AD-9EF7-EA3C8760BA35}">
  <dimension ref="D2:E14"/>
  <sheetViews>
    <sheetView workbookViewId="0">
      <selection activeCell="I10" sqref="I10"/>
    </sheetView>
  </sheetViews>
  <sheetFormatPr defaultRowHeight="15"/>
  <cols>
    <col min="4" max="4" width="70" customWidth="1"/>
  </cols>
  <sheetData>
    <row r="2" spans="4:5">
      <c r="D2" s="4" t="s">
        <v>24</v>
      </c>
      <c r="E2" s="4" t="s">
        <v>25</v>
      </c>
    </row>
    <row r="3" spans="4:5">
      <c r="D3" s="5" t="s">
        <v>26</v>
      </c>
      <c r="E3" s="6" t="s">
        <v>27</v>
      </c>
    </row>
    <row r="4" spans="4:5">
      <c r="D4" s="5" t="s">
        <v>28</v>
      </c>
      <c r="E4" s="6" t="s">
        <v>27</v>
      </c>
    </row>
    <row r="5" spans="4:5">
      <c r="D5" s="5" t="s">
        <v>29</v>
      </c>
      <c r="E5" s="6" t="s">
        <v>27</v>
      </c>
    </row>
    <row r="6" spans="4:5">
      <c r="D6" s="5" t="s">
        <v>30</v>
      </c>
      <c r="E6" s="6" t="s">
        <v>27</v>
      </c>
    </row>
    <row r="7" spans="4:5">
      <c r="D7" s="5" t="s">
        <v>31</v>
      </c>
      <c r="E7" s="6" t="s">
        <v>27</v>
      </c>
    </row>
    <row r="8" spans="4:5">
      <c r="D8" s="5" t="s">
        <v>32</v>
      </c>
      <c r="E8" s="6" t="s">
        <v>27</v>
      </c>
    </row>
    <row r="9" spans="4:5">
      <c r="D9" s="5" t="s">
        <v>33</v>
      </c>
      <c r="E9" s="6" t="s">
        <v>27</v>
      </c>
    </row>
    <row r="10" spans="4:5">
      <c r="D10" s="5" t="s">
        <v>34</v>
      </c>
      <c r="E10" s="6" t="s">
        <v>27</v>
      </c>
    </row>
    <row r="11" spans="4:5">
      <c r="D11" s="5" t="s">
        <v>35</v>
      </c>
      <c r="E11" s="6" t="s">
        <v>27</v>
      </c>
    </row>
    <row r="12" spans="4:5">
      <c r="D12" s="5" t="s">
        <v>36</v>
      </c>
      <c r="E12" s="6" t="s">
        <v>27</v>
      </c>
    </row>
    <row r="13" spans="4:5">
      <c r="D13" s="5" t="s">
        <v>37</v>
      </c>
      <c r="E13" s="6" t="s">
        <v>27</v>
      </c>
    </row>
    <row r="14" spans="4:5">
      <c r="D14" s="5" t="s">
        <v>38</v>
      </c>
      <c r="E14" s="6" t="s">
        <v>27</v>
      </c>
    </row>
  </sheetData>
  <conditionalFormatting sqref="E3:E14">
    <cfRule type="containsText" dxfId="3" priority="1" operator="containsText" text="Sim">
      <formula>NOT(ISERROR(SEARCH("Sim",E3)))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52C29-2DF8-4EBB-A1B6-8645E0BCB0E4}">
  <dimension ref="E2:F12"/>
  <sheetViews>
    <sheetView workbookViewId="0">
      <selection activeCell="I7" sqref="I7"/>
    </sheetView>
  </sheetViews>
  <sheetFormatPr defaultRowHeight="15"/>
  <cols>
    <col min="5" max="5" width="10.7109375" bestFit="1" customWidth="1"/>
    <col min="6" max="6" width="35.140625" bestFit="1" customWidth="1"/>
  </cols>
  <sheetData>
    <row r="2" spans="5:6">
      <c r="E2" s="2" t="s">
        <v>39</v>
      </c>
      <c r="F2" s="2" t="s">
        <v>40</v>
      </c>
    </row>
    <row r="3" spans="5:6">
      <c r="E3" s="1">
        <v>1</v>
      </c>
      <c r="F3" s="1" t="s">
        <v>41</v>
      </c>
    </row>
    <row r="4" spans="5:6">
      <c r="E4" s="1">
        <v>2</v>
      </c>
      <c r="F4" s="1" t="s">
        <v>42</v>
      </c>
    </row>
    <row r="5" spans="5:6">
      <c r="E5" s="1">
        <v>3</v>
      </c>
      <c r="F5" s="1" t="s">
        <v>43</v>
      </c>
    </row>
    <row r="6" spans="5:6">
      <c r="E6" s="1">
        <v>4</v>
      </c>
      <c r="F6" s="1" t="s">
        <v>44</v>
      </c>
    </row>
    <row r="7" spans="5:6">
      <c r="E7" s="1">
        <v>5</v>
      </c>
      <c r="F7" s="1" t="s">
        <v>45</v>
      </c>
    </row>
    <row r="8" spans="5:6">
      <c r="E8" s="1">
        <v>6</v>
      </c>
      <c r="F8" s="1" t="s">
        <v>46</v>
      </c>
    </row>
    <row r="9" spans="5:6">
      <c r="E9" s="1">
        <v>7</v>
      </c>
      <c r="F9" s="1" t="s">
        <v>47</v>
      </c>
    </row>
    <row r="10" spans="5:6">
      <c r="E10" s="1">
        <v>8</v>
      </c>
      <c r="F10" s="1" t="s">
        <v>48</v>
      </c>
    </row>
    <row r="11" spans="5:6">
      <c r="E11" s="1">
        <v>9</v>
      </c>
      <c r="F11" s="1" t="s">
        <v>49</v>
      </c>
    </row>
    <row r="12" spans="5:6">
      <c r="E12" s="1">
        <v>10</v>
      </c>
      <c r="F12" s="1" t="s">
        <v>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2026-10-14T18:04:50Z</dcterms:created>
  <dcterms:modified xsi:type="dcterms:W3CDTF">2026-10-14T19:31:28Z</dcterms:modified>
  <cp:category/>
  <cp:contentStatus/>
</cp:coreProperties>
</file>