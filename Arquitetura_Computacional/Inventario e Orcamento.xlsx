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5AC38BA2-8797-41E9-84EE-5A9B8499AE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ventario" sheetId="1" r:id="rId1"/>
    <sheet name="Resumo" sheetId="2" r:id="rId2"/>
    <sheet name="Justificativ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1" l="1"/>
  <c r="G3" i="1"/>
  <c r="G4" i="1"/>
  <c r="G5" i="1"/>
  <c r="G6" i="1"/>
  <c r="G7" i="1"/>
  <c r="G9" i="1"/>
  <c r="G10" i="1" l="1"/>
</calcChain>
</file>

<file path=xl/sharedStrings.xml><?xml version="1.0" encoding="utf-8"?>
<sst xmlns="http://schemas.openxmlformats.org/spreadsheetml/2006/main" count="57" uniqueCount="43">
  <si>
    <t>Inventário e Orçamento</t>
  </si>
  <si>
    <t>Item</t>
  </si>
  <si>
    <t>Modelo</t>
  </si>
  <si>
    <t>Local</t>
  </si>
  <si>
    <t>Quantidade</t>
  </si>
  <si>
    <t>Valor Unitário</t>
  </si>
  <si>
    <t>Subtotal</t>
  </si>
  <si>
    <t>Fornecedor</t>
  </si>
  <si>
    <t>URL</t>
  </si>
  <si>
    <t>Data</t>
  </si>
  <si>
    <t>Notebook Administrativo</t>
  </si>
  <si>
    <t>Dell Latitude 3450</t>
  </si>
  <si>
    <t>São Paulo, Campinas e Santos</t>
  </si>
  <si>
    <t>Mercado Livre</t>
  </si>
  <si>
    <t>https://lista.mercadolivre.com.br/latitude-3450-dell-intel-core-i5</t>
  </si>
  <si>
    <t>Notebook Operacional</t>
  </si>
  <si>
    <t>Lenovo ThinkPad E14 Gen 6</t>
  </si>
  <si>
    <t>Lenovo Brasilhttps://www.lenovo.com/br/pt/p/laptops/thinkpad/thinkpade/lenovo-thinkpad-e14-gen-6-14-inch-intel/21m8000ybo</t>
  </si>
  <si>
    <t>Notebook Especializado</t>
  </si>
  <si>
    <t>Dell Precision 3591</t>
  </si>
  <si>
    <t>São Paulo</t>
  </si>
  <si>
    <t>CRP Tecnologia</t>
  </si>
  <si>
    <t>https://crptecnologia.com.br/produtos/notebook-dell-precision-3591/</t>
  </si>
  <si>
    <t>Monitor 24" Full HD</t>
  </si>
  <si>
    <t>Dell P2425H</t>
  </si>
  <si>
    <t>Dell Brasilhttps://www.dell.com/pt-br/shop/monitor-dell-pro-24-plus-p2425h/apd/210-bmgk/monitores-e-acess%C3%B3rios</t>
  </si>
  <si>
    <t>Servidor Infraestrutura</t>
  </si>
  <si>
    <t>Dell PowerEdge T350</t>
  </si>
  <si>
    <t>SimpleWay</t>
  </si>
  <si>
    <t>https://simpleway.com.br/produto/servidores/servidor-dell-poweredge-t350-ram-16gb-ssd-480gb-windows-server-2022-standart/</t>
  </si>
  <si>
    <t>Servidor Aplicações</t>
  </si>
  <si>
    <t>Nobreak</t>
  </si>
  <si>
    <t>APC Smart-UPS 3000VA</t>
  </si>
  <si>
    <t>APC Nobreaks</t>
  </si>
  <si>
    <t>https://www.apcnobreaks.com.br/nobreak-apc-3kva-rack-senoidal-120v-smx3000lv2u-br</t>
  </si>
  <si>
    <t>Resumo</t>
  </si>
  <si>
    <t>Equipamento</t>
  </si>
  <si>
    <t>Monitor Dell P2425H</t>
  </si>
  <si>
    <t>Nobreak APC Smart-UPS 3000VA</t>
  </si>
  <si>
    <t>Total de Equipamentos</t>
  </si>
  <si>
    <t>O inventário foi elaborado com base nos perfis de hardware definidos nas etapas anteriores e na estrutura organizacional da Prime Talent Recrutamento &amp; Seleção.</t>
  </si>
  <si>
    <t xml:space="preserve">As quantidades foram calculadas considerando os 66 colaboradores da empresa, a infraestrutura necessária para operação dos serviços corporativos e o modelo híbrido de trabalho adotado pela organização. </t>
  </si>
  <si>
    <t>Os valores foram obtidos por meio de consultas realizadas em fabricantes e fornecedores especializados, apresentando uma estimativa do investimento necessário para implantação da infraestrutura tecnológica da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</si>
</sst>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Segoe UI"/>
      <charset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6" fontId="0" fillId="0" borderId="0" xfId="0" applyNumberFormat="1"/>
    <xf numFmtId="6" fontId="0" fillId="0" borderId="0" xfId="0" applyNumberFormat="1" applyAlignment="1">
      <alignment horizontal="center"/>
    </xf>
    <xf numFmtId="6" fontId="2" fillId="0" borderId="0" xfId="0" applyNumberFormat="1" applyFont="1" applyAlignment="1">
      <alignment horizontal="center"/>
    </xf>
    <xf numFmtId="1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10" formatCode="&quot;R$&quot;\ #,##0;[Red]\-&quot;R$&quot;\ #,##0"/>
    </dxf>
    <dxf>
      <numFmt numFmtId="10" formatCode="&quot;R$&quot;\ #,##0;[Red]\-&quot;R$&quot;\ #,##0"/>
    </dxf>
    <dxf>
      <alignment horizontal="center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366FF1-CB7F-439E-B6CF-F76B27738680}" name="Tabela3" displayName="Tabela3" ref="B2:J10" totalsRowCount="1" headerRowDxfId="6">
  <autoFilter ref="B2:J9" xr:uid="{60366FF1-CB7F-439E-B6CF-F76B27738680}"/>
  <tableColumns count="9">
    <tableColumn id="1" xr3:uid="{ECA86806-9CE0-4E46-BD3C-3D5E44F4D3A9}" name="Item"/>
    <tableColumn id="2" xr3:uid="{A9CF9674-92D1-491A-9F7F-F7BC7C325C51}" name="Modelo"/>
    <tableColumn id="3" xr3:uid="{B976FD62-0522-4772-96CD-C16D261E8F1F}" name="Local"/>
    <tableColumn id="4" xr3:uid="{C68E459F-9C9E-4C4C-9CA8-2CCFB1F8C1D4}" name="Quantidade" dataDxfId="4" totalsRowDxfId="5"/>
    <tableColumn id="5" xr3:uid="{355E2628-84C6-4BF9-AF4A-83FE1CBF7456}" name="Valor Unitário"/>
    <tableColumn id="6" xr3:uid="{2A57BCF8-01F1-445E-91B7-00EF572537E2}" name="Subtotal" totalsRowFunction="custom" dataDxfId="2" totalsRowDxfId="3">
      <calculatedColumnFormula>Tabela3[[#This Row],[Quantidade]]*Tabela3[[#This Row],[Valor Unitário]]</calculatedColumnFormula>
      <totalsRowFormula>SUBTOTAL(109,G3:G9)</totalsRowFormula>
    </tableColumn>
    <tableColumn id="7" xr3:uid="{A4053FD7-E7FA-4E09-BEDA-9A22F7CAE52E}" name="Fornecedor"/>
    <tableColumn id="8" xr3:uid="{C44B7A40-6307-45F5-9E45-B770338DC725}" name="URL"/>
    <tableColumn id="9" xr3:uid="{0E0DA384-B851-4C2D-B682-E9F75CFFE00B}" name="Data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3D73A1-8756-4C23-960E-DA5FDCB148CB}" name="Tabela2" displayName="Tabela2" ref="C2:D10" totalsRowShown="0" headerRowDxfId="1">
  <autoFilter ref="C2:D10" xr:uid="{2E3D73A1-8756-4C23-960E-DA5FDCB148CB}"/>
  <tableColumns count="2">
    <tableColumn id="1" xr3:uid="{F8B95A2B-DF46-4DD8-827E-40C053D3378F}" name="Equipamento"/>
    <tableColumn id="2" xr3:uid="{83A1BF16-0F40-451E-ACDB-DEB90E2DED8D}" name="Quantidad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"/>
  <sheetViews>
    <sheetView tabSelected="1" workbookViewId="0">
      <selection activeCell="F9" sqref="F9"/>
    </sheetView>
  </sheetViews>
  <sheetFormatPr defaultRowHeight="15"/>
  <cols>
    <col min="2" max="2" width="23.5703125" bestFit="1" customWidth="1"/>
    <col min="3" max="3" width="25.85546875" bestFit="1" customWidth="1"/>
    <col min="4" max="4" width="27.42578125" bestFit="1" customWidth="1"/>
    <col min="5" max="5" width="14" bestFit="1" customWidth="1"/>
    <col min="6" max="6" width="16" customWidth="1"/>
    <col min="7" max="7" width="11" bestFit="1" customWidth="1"/>
    <col min="8" max="8" width="13.5703125" bestFit="1" customWidth="1"/>
    <col min="9" max="9" width="59.5703125" bestFit="1" customWidth="1"/>
    <col min="10" max="10" width="11.42578125" bestFit="1" customWidth="1"/>
  </cols>
  <sheetData>
    <row r="1" spans="2:10">
      <c r="D1" s="10" t="s">
        <v>0</v>
      </c>
      <c r="E1" s="10"/>
      <c r="F1" s="10"/>
      <c r="G1" s="10"/>
    </row>
    <row r="2" spans="2:10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2:10">
      <c r="B3" t="s">
        <v>10</v>
      </c>
      <c r="C3" t="s">
        <v>11</v>
      </c>
      <c r="D3" t="s">
        <v>12</v>
      </c>
      <c r="E3" s="1">
        <v>14</v>
      </c>
      <c r="F3" s="4">
        <v>5500</v>
      </c>
      <c r="G3" s="3">
        <f>Tabela3[[#This Row],[Quantidade]]*Tabela3[[#This Row],[Valor Unitário]]</f>
        <v>77000</v>
      </c>
      <c r="H3" t="s">
        <v>13</v>
      </c>
      <c r="I3" t="s">
        <v>14</v>
      </c>
      <c r="J3" s="6">
        <v>46301</v>
      </c>
    </row>
    <row r="4" spans="2:10" ht="16.5">
      <c r="B4" t="s">
        <v>15</v>
      </c>
      <c r="C4" t="s">
        <v>16</v>
      </c>
      <c r="D4" t="s">
        <v>12</v>
      </c>
      <c r="E4" s="1">
        <v>47</v>
      </c>
      <c r="F4" s="5">
        <v>6500</v>
      </c>
      <c r="G4" s="3">
        <f>Tabela3[[#This Row],[Quantidade]]*Tabela3[[#This Row],[Valor Unitário]]</f>
        <v>305500</v>
      </c>
      <c r="H4" t="s">
        <v>17</v>
      </c>
      <c r="J4" s="6">
        <v>46301</v>
      </c>
    </row>
    <row r="5" spans="2:10" ht="16.5">
      <c r="B5" t="s">
        <v>18</v>
      </c>
      <c r="C5" t="s">
        <v>19</v>
      </c>
      <c r="D5" t="s">
        <v>20</v>
      </c>
      <c r="E5" s="1">
        <v>5</v>
      </c>
      <c r="F5" s="5">
        <v>15000</v>
      </c>
      <c r="G5" s="3">
        <f>Tabela3[[#This Row],[Quantidade]]*Tabela3[[#This Row],[Valor Unitário]]</f>
        <v>75000</v>
      </c>
      <c r="H5" t="s">
        <v>21</v>
      </c>
      <c r="I5" t="s">
        <v>22</v>
      </c>
      <c r="J5" s="6">
        <v>46301</v>
      </c>
    </row>
    <row r="6" spans="2:10" ht="16.5">
      <c r="B6" t="s">
        <v>23</v>
      </c>
      <c r="C6" t="s">
        <v>24</v>
      </c>
      <c r="D6" t="s">
        <v>12</v>
      </c>
      <c r="E6" s="1">
        <v>26</v>
      </c>
      <c r="F6" s="5">
        <v>1200</v>
      </c>
      <c r="G6" s="3">
        <f>Tabela3[[#This Row],[Quantidade]]*Tabela3[[#This Row],[Valor Unitário]]</f>
        <v>31200</v>
      </c>
      <c r="H6" t="s">
        <v>25</v>
      </c>
      <c r="J6" s="6">
        <v>46301</v>
      </c>
    </row>
    <row r="7" spans="2:10" ht="16.5">
      <c r="B7" t="s">
        <v>26</v>
      </c>
      <c r="C7" t="s">
        <v>27</v>
      </c>
      <c r="D7" t="s">
        <v>20</v>
      </c>
      <c r="E7" s="1">
        <v>1</v>
      </c>
      <c r="F7" s="5">
        <v>18000</v>
      </c>
      <c r="G7" s="3">
        <f>Tabela3[[#This Row],[Quantidade]]*Tabela3[[#This Row],[Valor Unitário]]</f>
        <v>18000</v>
      </c>
      <c r="H7" t="s">
        <v>28</v>
      </c>
      <c r="I7" t="s">
        <v>29</v>
      </c>
      <c r="J7" s="6">
        <v>46301</v>
      </c>
    </row>
    <row r="8" spans="2:10" ht="16.5">
      <c r="B8" t="s">
        <v>30</v>
      </c>
      <c r="C8" t="s">
        <v>27</v>
      </c>
      <c r="D8" t="s">
        <v>20</v>
      </c>
      <c r="E8" s="1">
        <v>1</v>
      </c>
      <c r="F8" s="5">
        <v>18000</v>
      </c>
      <c r="G8" s="3">
        <f>Tabela3[[#This Row],[Quantidade]]*Tabela3[[#This Row],[Valor Unitário]]</f>
        <v>18000</v>
      </c>
      <c r="H8" t="s">
        <v>28</v>
      </c>
      <c r="I8" t="s">
        <v>29</v>
      </c>
      <c r="J8" s="6">
        <v>46301</v>
      </c>
    </row>
    <row r="9" spans="2:10" ht="16.5">
      <c r="B9" t="s">
        <v>31</v>
      </c>
      <c r="C9" t="s">
        <v>32</v>
      </c>
      <c r="D9" t="s">
        <v>20</v>
      </c>
      <c r="E9" s="1">
        <v>1</v>
      </c>
      <c r="F9" s="5">
        <v>8800</v>
      </c>
      <c r="G9" s="3">
        <f>Tabela3[[#This Row],[Quantidade]]*Tabela3[[#This Row],[Valor Unitário]]</f>
        <v>8800</v>
      </c>
      <c r="H9" t="s">
        <v>33</v>
      </c>
      <c r="I9" t="s">
        <v>34</v>
      </c>
      <c r="J9" s="6">
        <v>46301</v>
      </c>
    </row>
    <row r="10" spans="2:10">
      <c r="E10" s="1"/>
      <c r="G10" s="3">
        <f>SUBTOTAL(109,G3:G9)</f>
        <v>533500</v>
      </c>
    </row>
  </sheetData>
  <mergeCells count="1">
    <mergeCell ref="D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F9BD-057F-440B-8570-9C49DBE4B1C3}">
  <dimension ref="C1:D10"/>
  <sheetViews>
    <sheetView workbookViewId="0">
      <selection activeCell="F5" sqref="F5"/>
    </sheetView>
  </sheetViews>
  <sheetFormatPr defaultRowHeight="15"/>
  <cols>
    <col min="3" max="3" width="30.42578125" bestFit="1" customWidth="1"/>
    <col min="4" max="4" width="14" bestFit="1" customWidth="1"/>
  </cols>
  <sheetData>
    <row r="1" spans="3:4" ht="15.75">
      <c r="C1" s="11" t="s">
        <v>35</v>
      </c>
      <c r="D1" s="11"/>
    </row>
    <row r="2" spans="3:4">
      <c r="C2" s="2" t="s">
        <v>36</v>
      </c>
      <c r="D2" s="2" t="s">
        <v>4</v>
      </c>
    </row>
    <row r="3" spans="3:4">
      <c r="C3" t="s">
        <v>10</v>
      </c>
      <c r="D3" s="1">
        <v>14</v>
      </c>
    </row>
    <row r="4" spans="3:4">
      <c r="C4" t="s">
        <v>15</v>
      </c>
      <c r="D4" s="1">
        <v>47</v>
      </c>
    </row>
    <row r="5" spans="3:4">
      <c r="C5" t="s">
        <v>18</v>
      </c>
      <c r="D5" s="1">
        <v>5</v>
      </c>
    </row>
    <row r="6" spans="3:4">
      <c r="C6" t="s">
        <v>37</v>
      </c>
      <c r="D6" s="1">
        <v>26</v>
      </c>
    </row>
    <row r="7" spans="3:4">
      <c r="C7" t="s">
        <v>26</v>
      </c>
      <c r="D7" s="1">
        <v>1</v>
      </c>
    </row>
    <row r="8" spans="3:4">
      <c r="C8" t="s">
        <v>30</v>
      </c>
      <c r="D8" s="1">
        <v>1</v>
      </c>
    </row>
    <row r="9" spans="3:4">
      <c r="C9" t="s">
        <v>38</v>
      </c>
      <c r="D9" s="1">
        <v>1</v>
      </c>
    </row>
    <row r="10" spans="3:4">
      <c r="C10" s="7" t="s">
        <v>39</v>
      </c>
      <c r="D10" s="8">
        <v>95</v>
      </c>
    </row>
  </sheetData>
  <mergeCells count="1">
    <mergeCell ref="C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AFE8-7C70-4BBA-80CB-3DD3B0A58CBC}">
  <dimension ref="B2:B4"/>
  <sheetViews>
    <sheetView workbookViewId="0">
      <selection activeCell="B9" sqref="B9"/>
    </sheetView>
  </sheetViews>
  <sheetFormatPr defaultRowHeight="15"/>
  <cols>
    <col min="2" max="2" width="157.5703125" customWidth="1"/>
  </cols>
  <sheetData>
    <row r="2" spans="2:2" ht="33">
      <c r="B2" s="9" t="s">
        <v>40</v>
      </c>
    </row>
    <row r="3" spans="2:2" ht="49.5">
      <c r="B3" s="9" t="s">
        <v>41</v>
      </c>
    </row>
    <row r="4" spans="2:2" ht="49.5">
      <c r="B4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2026-10-06T14:20:29Z</dcterms:created>
  <dcterms:modified xsi:type="dcterms:W3CDTF">2026-10-06T17:36:58Z</dcterms:modified>
  <cp:category/>
  <cp:contentStatus/>
</cp:coreProperties>
</file>